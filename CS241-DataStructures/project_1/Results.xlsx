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no\Desktop\5.DataStructures\project_1\"/>
    </mc:Choice>
  </mc:AlternateContent>
  <xr:revisionPtr revIDLastSave="0" documentId="13_ncr:1_{6E7436C0-0D20-468B-B76B-C22282CDCFDB}" xr6:coauthVersionLast="41" xr6:coauthVersionMax="41" xr10:uidLastSave="{00000000-0000-0000-0000-000000000000}"/>
  <bookViews>
    <workbookView xWindow="-108" yWindow="-108" windowWidth="23256" windowHeight="12576" xr2:uid="{D21C6FF8-5878-41A8-A0E8-170280679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10" i="1"/>
  <c r="P11" i="1"/>
  <c r="P12" i="1"/>
  <c r="P13" i="1"/>
  <c r="P14" i="1"/>
  <c r="H11" i="1" l="1"/>
  <c r="H12" i="1"/>
  <c r="H13" i="1"/>
  <c r="H14" i="1"/>
  <c r="H10" i="1"/>
  <c r="X11" i="1"/>
  <c r="X12" i="1"/>
  <c r="X13" i="1"/>
  <c r="X14" i="1"/>
  <c r="X10" i="1"/>
  <c r="X5" i="1"/>
  <c r="X6" i="1"/>
  <c r="X7" i="1"/>
  <c r="X8" i="1"/>
  <c r="X4" i="1"/>
  <c r="H4" i="1"/>
  <c r="H5" i="1"/>
  <c r="H6" i="1"/>
  <c r="H7" i="1"/>
  <c r="H8" i="1"/>
</calcChain>
</file>

<file path=xl/sharedStrings.xml><?xml version="1.0" encoding="utf-8"?>
<sst xmlns="http://schemas.openxmlformats.org/spreadsheetml/2006/main" count="86" uniqueCount="32">
  <si>
    <t>Trial 1</t>
  </si>
  <si>
    <t xml:space="preserve">Trial 2 </t>
  </si>
  <si>
    <t>Trial 3</t>
  </si>
  <si>
    <t>Trial 4</t>
  </si>
  <si>
    <t>Trial 5</t>
  </si>
  <si>
    <t>Insertion Increasing</t>
  </si>
  <si>
    <t>Insertion Decreasing</t>
  </si>
  <si>
    <t>Insertion Random</t>
  </si>
  <si>
    <t>Selection Increasing</t>
  </si>
  <si>
    <t>Selection Decreasing</t>
  </si>
  <si>
    <t>Selection Random</t>
  </si>
  <si>
    <t>Increasing</t>
  </si>
  <si>
    <t>Insertion</t>
  </si>
  <si>
    <t>Selection</t>
  </si>
  <si>
    <t>Decreasing</t>
  </si>
  <si>
    <t>Random</t>
  </si>
  <si>
    <t>Insertion better</t>
  </si>
  <si>
    <t>Selection better</t>
  </si>
  <si>
    <t>Insertion Better</t>
  </si>
  <si>
    <t>Insertion Constant</t>
  </si>
  <si>
    <t>Insertion linear</t>
  </si>
  <si>
    <t>Selection linear</t>
  </si>
  <si>
    <t>Selection Exponential</t>
  </si>
  <si>
    <t>insertion exponential</t>
  </si>
  <si>
    <t xml:space="preserve">selection </t>
  </si>
  <si>
    <t>1000</t>
  </si>
  <si>
    <t>2500</t>
  </si>
  <si>
    <t>5000</t>
  </si>
  <si>
    <t>7500</t>
  </si>
  <si>
    <t>10000</t>
  </si>
  <si>
    <t>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</si>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</sst>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5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Decreasing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Sheet1!$J$20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Sheet1!$K$19:$O$19</c:f>
              <c:strCach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strCache>
            </c:strRef>
          </c:cat>
          <c:val>
            <c:numRef>
              <c:f>Sheet1!$K$20:$O$20</c:f>
              <c:numCache>
                <c:formatCode>General</c:formatCode>
                <c:ptCount val="5"/>
                <c:pt idx="0">
                  <c:v>7.4999999999999997E-2</c:v>
                </c:pt>
                <c:pt idx="1">
                  <c:v>0.49375000000000002</c:v>
                </c:pt>
                <c:pt idx="2">
                  <c:v>2.0187499999999998</c:v>
                </c:pt>
                <c:pt idx="3">
                  <c:v>4.5718750000000004</c:v>
                </c:pt>
                <c:pt idx="4">
                  <c:v>8.1531249999999993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4-47BA-946A-919B97A948EA}"/>
            </c:ext>
          </c:extLst>
        </c:ser>
        <c:ser>
          <c:idx val="1"/>
          <c:order val="1"/>
          <c:tx>
            <c:strRef>
              <c:f>Sheet1!$J$21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Sheet1!$K$19:$O$19</c:f>
              <c:strCach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strCache>
            </c:strRef>
          </c:cat>
          <c:val>
            <c:numRef>
              <c:f>Sheet1!$K$21:$O$21</c:f>
              <c:numCache>
                <c:formatCode>General</c:formatCode>
                <c:ptCount val="5"/>
                <c:pt idx="0">
                  <c:v>7.1874999999999994E-2</c:v>
                </c:pt>
                <c:pt idx="1">
                  <c:v>0.41875000000000001</c:v>
                </c:pt>
                <c:pt idx="2">
                  <c:v>1.6968749999999999</c:v>
                </c:pt>
                <c:pt idx="3">
                  <c:v>3.8468749999999998</c:v>
                </c:pt>
                <c:pt idx="4">
                  <c:v>7.1656250000000004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84-47BA-946A-919B97A9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702040"/>
        <c:axId val="551694824"/>
      </c:lineChart>
      <c:catAx>
        <c:axId val="551702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Cells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1694824"/>
        <c:crosses val="autoZero"/>
        <c:auto val="1"/>
        <c:lblAlgn val="ctr"/>
        <c:lblOffset val="100"/>
        <c:noMultiLvlLbl val="0"/>
      </c:catAx>
      <c:valAx>
        <c:axId val="55169482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17020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Sheet1!$R$20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Sheet1!$S$19:$W$19</c:f>
              <c:strCach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strCache>
            </c:strRef>
          </c:cat>
          <c:val>
            <c:numRef>
              <c:f>Sheet1!$S$20:$W$20</c:f>
              <c:numCache>
                <c:formatCode>General</c:formatCode>
                <c:ptCount val="5"/>
                <c:pt idx="0">
                  <c:v>3.4375000000000003E-2</c:v>
                </c:pt>
                <c:pt idx="1">
                  <c:v>0.25937500000000002</c:v>
                </c:pt>
                <c:pt idx="2">
                  <c:v>1.04375</c:v>
                </c:pt>
                <c:pt idx="3">
                  <c:v>2.35</c:v>
                </c:pt>
                <c:pt idx="4">
                  <c:v>4.1749999999999998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5-43A3-AB12-477FC7BACEA2}"/>
            </c:ext>
          </c:extLst>
        </c:ser>
        <c:ser>
          <c:idx val="1"/>
          <c:order val="1"/>
          <c:tx>
            <c:strRef>
              <c:f>Sheet1!$R$21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Sheet1!$S$19:$W$19</c:f>
              <c:strCach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strCache>
            </c:strRef>
          </c:cat>
          <c:val>
            <c:numRef>
              <c:f>Sheet1!$S$21:$W$21</c:f>
              <c:numCache>
                <c:formatCode>0.00000</c:formatCode>
                <c:ptCount val="5"/>
                <c:pt idx="0">
                  <c:v>6.25E-2</c:v>
                </c:pt>
                <c:pt idx="1">
                  <c:v>0.42185699999999998</c:v>
                </c:pt>
                <c:pt idx="2">
                  <c:v>1.684375</c:v>
                </c:pt>
                <c:pt idx="3">
                  <c:v>3.7937500000000002</c:v>
                </c:pt>
                <c:pt idx="4">
                  <c:v>6.7468750000000002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5-43A3-AB12-477FC7BAC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800240"/>
        <c:axId val="633804504"/>
      </c:lineChart>
      <c:catAx>
        <c:axId val="63380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Cells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3804504"/>
        <c:crosses val="autoZero"/>
        <c:auto val="1"/>
        <c:lblAlgn val="ctr"/>
        <c:lblOffset val="100"/>
        <c:noMultiLvlLbl val="0"/>
      </c:catAx>
      <c:valAx>
        <c:axId val="63380450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3800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Increasing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Sheet1!$C$19:$G$19</c:f>
              <c:strCach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strCache>
            </c:strRef>
          </c:cat>
          <c:val>
            <c:numRef>
              <c:f>Sheet1!$C$20:$G$20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6-426A-9F48-076D86EE2A1A}"/>
            </c:ext>
          </c:extLst>
        </c:ser>
        <c:ser>
          <c:idx val="1"/>
          <c:order val="1"/>
          <c:tx>
            <c:strRef>
              <c:f>Sheet1!$B$21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Sheet1!$C$19:$G$19</c:f>
              <c:strCach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strCache>
            </c:strRef>
          </c:cat>
          <c:val>
            <c:numRef>
              <c:f>Sheet1!$C$21:$G$21</c:f>
              <c:numCache>
                <c:formatCode>General</c:formatCode>
                <c:ptCount val="5"/>
                <c:pt idx="0">
                  <c:v>6.8750000000000006E-2</c:v>
                </c:pt>
                <c:pt idx="1">
                  <c:v>0.41249999999999998</c:v>
                </c:pt>
                <c:pt idx="2">
                  <c:v>1.6625000000000001</c:v>
                </c:pt>
                <c:pt idx="3">
                  <c:v>3.75</c:v>
                </c:pt>
                <c:pt idx="4">
                  <c:v>6.65625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6-426A-9F48-076D86EE2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986272"/>
        <c:axId val="618983320"/>
      </c:lineChart>
      <c:catAx>
        <c:axId val="61898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Cells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18983320"/>
        <c:crosses val="autoZero"/>
        <c:auto val="1"/>
        <c:lblAlgn val="ctr"/>
        <c:lblOffset val="100"/>
        <c:noMultiLvlLbl val="0"/>
      </c:catAx>
      <c:valAx>
        <c:axId val="61898332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18986272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Sheet1!$AA$11</c:f>
              <c:strCache>
                <c:ptCount val="1"/>
                <c:pt idx="0">
                  <c:v>Increasing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Sheet1!$Z$12:$Z$16</c:f>
              <c:numCache>
                <c:formatCode>@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Sheet1!$AA$12:$AA$16</c:f>
              <c:numCache>
                <c:formatCode>General</c:formatCode>
                <c:ptCount val="5"/>
                <c:pt idx="0">
                  <c:v>6.8750000000000006E-2</c:v>
                </c:pt>
                <c:pt idx="1">
                  <c:v>0.41249999999999998</c:v>
                </c:pt>
                <c:pt idx="2">
                  <c:v>1.6625000000000001</c:v>
                </c:pt>
                <c:pt idx="3">
                  <c:v>3.75</c:v>
                </c:pt>
                <c:pt idx="4">
                  <c:v>6.65625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48-4596-8E84-910AF1B6B66D}"/>
            </c:ext>
          </c:extLst>
        </c:ser>
        <c:ser>
          <c:idx val="1"/>
          <c:order val="1"/>
          <c:tx>
            <c:strRef>
              <c:f>Sheet1!$AB$11</c:f>
              <c:strCache>
                <c:ptCount val="1"/>
                <c:pt idx="0">
                  <c:v>Decreasing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Sheet1!$Z$12:$Z$16</c:f>
              <c:numCache>
                <c:formatCode>@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Sheet1!$AB$12:$AB$16</c:f>
              <c:numCache>
                <c:formatCode>General</c:formatCode>
                <c:ptCount val="5"/>
                <c:pt idx="0">
                  <c:v>7.1874999999999994E-2</c:v>
                </c:pt>
                <c:pt idx="1">
                  <c:v>0.41875000000000001</c:v>
                </c:pt>
                <c:pt idx="2">
                  <c:v>1.6968749999999999</c:v>
                </c:pt>
                <c:pt idx="3">
                  <c:v>3.8468749999999998</c:v>
                </c:pt>
                <c:pt idx="4">
                  <c:v>7.1656250000000004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48-4596-8E84-910AF1B6B66D}"/>
            </c:ext>
          </c:extLst>
        </c:ser>
        <c:ser>
          <c:idx val="2"/>
          <c:order val="2"/>
          <c:tx>
            <c:strRef>
              <c:f>Sheet1!$AC$11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Sheet1!$Z$12:$Z$16</c:f>
              <c:numCache>
                <c:formatCode>@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Sheet1!$AC$12:$AC$16</c:f>
              <c:numCache>
                <c:formatCode>General</c:formatCode>
                <c:ptCount val="5"/>
                <c:pt idx="0">
                  <c:v>6.25E-2</c:v>
                </c:pt>
                <c:pt idx="1">
                  <c:v>0.42185699999999998</c:v>
                </c:pt>
                <c:pt idx="2">
                  <c:v>1.684375</c:v>
                </c:pt>
                <c:pt idx="3">
                  <c:v>3.7937500000000002</c:v>
                </c:pt>
                <c:pt idx="4">
                  <c:v>6.7468750000000002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48-4596-8E84-910AF1B6B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721480"/>
        <c:axId val="566720168"/>
      </c:lineChart>
      <c:catAx>
        <c:axId val="566721480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20168"/>
        <c:crosses val="autoZero"/>
        <c:auto val="1"/>
        <c:lblAlgn val="ctr"/>
        <c:lblOffset val="100"/>
        <c:noMultiLvlLbl val="0"/>
      </c:catAx>
      <c:valAx>
        <c:axId val="56672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21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Sheet1!$AA$2</c:f>
              <c:strCache>
                <c:ptCount val="1"/>
                <c:pt idx="0">
                  <c:v>Increasing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Sheet1!$Z$3:$Z$7</c:f>
              <c:numCache>
                <c:formatCode>@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Sheet1!$AA$3:$AA$7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4-4A6A-AFEF-6C74F84E857B}"/>
            </c:ext>
          </c:extLst>
        </c:ser>
        <c:ser>
          <c:idx val="1"/>
          <c:order val="1"/>
          <c:tx>
            <c:strRef>
              <c:f>Sheet1!$AB$2</c:f>
              <c:strCache>
                <c:ptCount val="1"/>
                <c:pt idx="0">
                  <c:v>Decreasing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Sheet1!$Z$3:$Z$7</c:f>
              <c:numCache>
                <c:formatCode>@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Sheet1!$AB$3:$AB$7</c:f>
              <c:numCache>
                <c:formatCode>General</c:formatCode>
                <c:ptCount val="5"/>
                <c:pt idx="0">
                  <c:v>7.4999999999999997E-2</c:v>
                </c:pt>
                <c:pt idx="1">
                  <c:v>0.49375000000000002</c:v>
                </c:pt>
                <c:pt idx="2">
                  <c:v>2.0187499999999998</c:v>
                </c:pt>
                <c:pt idx="3">
                  <c:v>4.5718750000000004</c:v>
                </c:pt>
                <c:pt idx="4">
                  <c:v>8.1531249999999993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4-4A6A-AFEF-6C74F84E857B}"/>
            </c:ext>
          </c:extLst>
        </c:ser>
        <c:ser>
          <c:idx val="2"/>
          <c:order val="2"/>
          <c:tx>
            <c:strRef>
              <c:f>Sheet1!$AC$2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Sheet1!$Z$3:$Z$7</c:f>
              <c:numCache>
                <c:formatCode>@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Sheet1!$AC$3:$AC$7</c:f>
              <c:numCache>
                <c:formatCode>General</c:formatCode>
                <c:ptCount val="5"/>
                <c:pt idx="0">
                  <c:v>3.4375000000000003E-2</c:v>
                </c:pt>
                <c:pt idx="1">
                  <c:v>0.25937500000000002</c:v>
                </c:pt>
                <c:pt idx="2">
                  <c:v>1.04375</c:v>
                </c:pt>
                <c:pt idx="3">
                  <c:v>2.35</c:v>
                </c:pt>
                <c:pt idx="4">
                  <c:v>4.1749999999999998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4-4A6A-AFEF-6C74F84E8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271440"/>
        <c:axId val="556272424"/>
      </c:lineChart>
      <c:catAx>
        <c:axId val="556271440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72424"/>
        <c:crosses val="autoZero"/>
        <c:auto val="1"/>
        <c:lblAlgn val="ctr"/>
        <c:lblOffset val="100"/>
        <c:noMultiLvlLbl val="0"/>
      </c:catAx>
      <c:valAx>
        <c:axId val="55627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71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358140</xdr:colOff>
      <xdr:row>21</xdr:row>
      <xdr:rowOff>91440</xdr:rowOff>
    </xdr:from>
    <xdr:to>
      <xdr:col>15</xdr:col>
      <xdr:colOff>449580</xdr:colOff>
      <xdr:row>36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389C1A-DA85-4ADF-BC77-44D89A3E9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556260</xdr:colOff>
      <xdr:row>21</xdr:row>
      <xdr:rowOff>137160</xdr:rowOff>
    </xdr:from>
    <xdr:to>
      <xdr:col>24</xdr:col>
      <xdr:colOff>175260</xdr:colOff>
      <xdr:row>36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B5C1FD-0CFC-4F35-BEAD-9D582FE95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601980</xdr:colOff>
      <xdr:row>21</xdr:row>
      <xdr:rowOff>160020</xdr:rowOff>
    </xdr:from>
    <xdr:to>
      <xdr:col>8</xdr:col>
      <xdr:colOff>121920</xdr:colOff>
      <xdr:row>36</xdr:row>
      <xdr:rowOff>160020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6984A5-A6F4-48E3-B377-AA6DBF31A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137160</xdr:colOff>
      <xdr:row>15</xdr:row>
      <xdr:rowOff>137160</xdr:rowOff>
    </xdr:from>
    <xdr:to>
      <xdr:col>36</xdr:col>
      <xdr:colOff>441960</xdr:colOff>
      <xdr:row>30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DA5AF4-61A0-4E39-A249-C2443B338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114300</xdr:colOff>
      <xdr:row>0</xdr:row>
      <xdr:rowOff>76200</xdr:rowOff>
    </xdr:from>
    <xdr:to>
      <xdr:col>36</xdr:col>
      <xdr:colOff>419100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74181A-9F0C-42A0-9B2C-AD97C6C14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6E89A-F1E8-4450-81BE-5CCB2215D7C9}" name="Table1" displayName="Table1" ref="B19:G21" totalsRowShown="0" headerRowDxfId="55">
  <autoFilter ref="B19:G21" xr:uid="{47F38059-8243-4DDC-B768-E96C81AC7F58}"/>
  <tableColumns count="6">
    <tableColumn id="1" xr3:uid="{87EEEBB0-2BBD-45BB-BE9F-170F319F1DA3}" name="Increasing"/>
    <tableColumn id="2" xr3:uid="{428E1475-B2AE-4757-8C5F-EE373071B953}" name="1000"/>
    <tableColumn id="3" xr3:uid="{9E8BE985-C397-413C-8A04-003EBB8F0BC7}" name="2500"/>
    <tableColumn id="4" xr3:uid="{26A91F64-0EAF-4250-872D-7B1EC1270FBD}" name="5000"/>
    <tableColumn id="5" xr3:uid="{DA175F91-E52C-4F74-BD99-67D25C1BF4FE}" name="7500"/>
    <tableColumn id="6" xr3:uid="{790666D4-516F-4629-AB37-6B0C2CE36D0E}" name="100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2C1E5D-02CB-41C1-97BA-C425B60AD4B3}" name="Table7" displayName="Table7" ref="J19:O21" totalsRowShown="0" headerRowDxfId="54">
  <autoFilter ref="J19:O21" xr:uid="{1B7F1FDC-3518-438B-AE26-A36F7EA63A02}"/>
  <tableColumns count="6">
    <tableColumn id="1" xr3:uid="{AA3C1EAA-6715-4C67-BD2B-A22D133DA44B}" name="Decreasing"/>
    <tableColumn id="2" xr3:uid="{10509251-1F13-41D4-8AF4-86D052D53878}" name="1000"/>
    <tableColumn id="3" xr3:uid="{45A980E1-D1F6-4990-B920-2B60C4842AFA}" name="2500"/>
    <tableColumn id="4" xr3:uid="{DC4A6044-1D7A-47DD-B0CA-4F1974B39A71}" name="5000"/>
    <tableColumn id="5" xr3:uid="{682E3A47-0F53-48F7-9912-C56B5D7D4544}" name="7500"/>
    <tableColumn id="6" xr3:uid="{076BAA0D-17D3-4F08-8C66-EA26A6515FC7}" name="100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00C2620-0F05-4638-902B-A986631C61F5}" name="Table9" displayName="Table9" ref="R19:W21" totalsRowShown="0">
  <autoFilter ref="R19:W21" xr:uid="{709E7065-15F4-4DFF-A632-9F586AC57E57}"/>
  <tableColumns count="6">
    <tableColumn id="1" xr3:uid="{A0178824-6860-400A-9B43-1155438EAD06}" name="Random"/>
    <tableColumn id="2" xr3:uid="{892EE333-CE7A-455C-A77F-CF2A1950F316}" name="1000"/>
    <tableColumn id="3" xr3:uid="{1E6D63A7-028E-44A1-AD92-B1972206F775}" name="2500"/>
    <tableColumn id="4" xr3:uid="{C3EC26B3-516F-4EC8-90D1-B18B2C9415C7}" name="5000"/>
    <tableColumn id="5" xr3:uid="{EB614824-4455-4870-A1B0-819C59186351}" name="7500"/>
    <tableColumn id="6" xr3:uid="{8863EE2D-F963-4F69-915D-B4FF9544C6EB}" name="100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BEB6DA-437F-4EA3-97B5-DFC986DEC904}" name="Table2" displayName="Table2" ref="B3:H8" totalsRowShown="0" headerRowDxfId="53" dataDxfId="52">
  <autoFilter ref="B3:H8" xr:uid="{FC4D7D53-26A0-44E9-B26E-A37B81A042F1}"/>
  <tableColumns count="7">
    <tableColumn id="1" xr3:uid="{59A2520C-170B-4A6B-85FA-D59173DA342F}" name="Insertion Increasing" dataDxfId="51"/>
    <tableColumn id="2" xr3:uid="{81926FE8-6147-41DE-82ED-C7E0148A6A07}" name="Trial 1" dataDxfId="50"/>
    <tableColumn id="3" xr3:uid="{813E9948-FF7F-456B-96F7-086E7B627298}" name="Trial 2 " dataDxfId="49"/>
    <tableColumn id="4" xr3:uid="{2289A964-6A75-4FB8-9561-DB0EB6220B4F}" name="Trial 3" dataDxfId="48"/>
    <tableColumn id="5" xr3:uid="{AAF3D1E1-EE1F-4E85-8012-83979B265689}" name="Trial 4" dataDxfId="47"/>
    <tableColumn id="6" xr3:uid="{E36A7EC9-D2FE-4796-8B6D-65167736A623}" name="Trial 5" dataDxfId="46"/>
    <tableColumn id="7" xr3:uid="{2EA767F7-3924-4445-AD2E-91023C5C663C}" name="Average" dataDxfId="45">
      <calculatedColumnFormula>AVERAGE(C4:G4)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B0AC92-A7D9-43F5-937C-913E7229B235}" name="Table3" displayName="Table3" ref="B9:H14" totalsRowShown="0" headerRowDxfId="44" dataDxfId="43">
  <autoFilter ref="B9:H14" xr:uid="{9446EA60-DEA8-444E-800F-74B4A7816E51}"/>
  <tableColumns count="7">
    <tableColumn id="1" xr3:uid="{40CEBEDC-D7ED-4A45-B08C-0138E854561A}" name="Selection Increasing" dataDxfId="42"/>
    <tableColumn id="2" xr3:uid="{245D89EF-CB86-43A0-BA66-30A82C9A4742}" name="Trial 1" dataDxfId="41"/>
    <tableColumn id="3" xr3:uid="{0F27317A-B631-46D1-B3A9-49FE02E10B7F}" name="Trial 2 " dataDxfId="40"/>
    <tableColumn id="4" xr3:uid="{F4031E0A-2258-4E90-A5D7-FEBF086D6BEA}" name="Trial 3" dataDxfId="39"/>
    <tableColumn id="5" xr3:uid="{2A47BEDA-BD2C-4E88-A7BA-78DE649EF54A}" name="Trial 4" dataDxfId="38"/>
    <tableColumn id="6" xr3:uid="{78C22459-8694-4D52-9680-E6DCAF7FBA75}" name="Trial 5" dataDxfId="37"/>
    <tableColumn id="7" xr3:uid="{05F7FAF2-CAB3-46CF-8AD0-28A7C1FBFD56}" name="Average" dataDxfId="36">
      <calculatedColumnFormula>AVERAGE(C10:G10)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F2B0CC-D363-41FB-B4B7-0044C89041BC}" name="Table4" displayName="Table4" ref="J9:P14" totalsRowShown="0" headerRowDxfId="35" dataDxfId="34">
  <autoFilter ref="J9:P14" xr:uid="{108425EC-3C6E-4673-9562-510175BA937F}"/>
  <tableColumns count="7">
    <tableColumn id="1" xr3:uid="{ACDE435C-7670-4C2A-91C4-BC887569AF31}" name="Selection Decreasing" dataDxfId="33"/>
    <tableColumn id="2" xr3:uid="{9190B4FF-AF1A-4FA7-8F98-EE2D680DFDB0}" name="Trial 1" dataDxfId="32"/>
    <tableColumn id="3" xr3:uid="{5856A660-EACE-439C-8D79-BE7FE991AE84}" name="Trial 2 " dataDxfId="31"/>
    <tableColumn id="4" xr3:uid="{4F41C8D7-C7F6-41E5-BAA9-561C13AD5E2B}" name="Trial 3" dataDxfId="30"/>
    <tableColumn id="5" xr3:uid="{42607480-1C49-4780-806E-27DB9B9CDE9B}" name="Trial 4" dataDxfId="29"/>
    <tableColumn id="6" xr3:uid="{79EAC6D9-8549-4179-B339-ABA41CE26CA4}" name="Trial 5" dataDxfId="28"/>
    <tableColumn id="7" xr3:uid="{8B4273A3-43D2-4106-B0B2-3994295023FE}" name="Average" dataDxfId="27">
      <calculatedColumnFormula>AVERAGE(K10:O10)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F597A8-E95F-4E0D-9E05-4BB5E0779E0F}" name="Table5" displayName="Table5" ref="J3:P8" totalsRowShown="0" headerRowDxfId="26" dataDxfId="25">
  <autoFilter ref="J3:P8" xr:uid="{8AB7A764-10A6-4975-8478-F6C47BCA3185}"/>
  <tableColumns count="7">
    <tableColumn id="1" xr3:uid="{4A1EC0BE-8013-4238-9018-2938DD1DDCE4}" name="Insertion Decreasing" dataDxfId="24"/>
    <tableColumn id="2" xr3:uid="{E481945A-FD8F-4AD7-B2D2-BC353189F9F9}" name="Trial 1" dataDxfId="23"/>
    <tableColumn id="3" xr3:uid="{6A7790B6-249F-4295-9E75-EA4809A35597}" name="Trial 2 " dataDxfId="22"/>
    <tableColumn id="4" xr3:uid="{8BFC1E22-EEA2-4CA9-BB0C-A9744BE68E9C}" name="Trial 3" dataDxfId="21"/>
    <tableColumn id="5" xr3:uid="{7AA11E15-D546-4838-85C2-7998E54CB29F}" name="Trial 4" dataDxfId="20"/>
    <tableColumn id="6" xr3:uid="{B2CFB85B-A677-4332-8745-E6CE3C8F84C8}" name="Trial 5" dataDxfId="19"/>
    <tableColumn id="7" xr3:uid="{5C7466FD-6B97-4EBF-9A50-FDDC75DF0029}" name="Average" dataDxfId="18">
      <calculatedColumnFormula>AVERAGE(K4:O4)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C32E08-F278-4747-9867-0BB71A1898C9}" name="Table6" displayName="Table6" ref="R3:X8" totalsRowShown="0" headerRowDxfId="17" dataDxfId="16">
  <autoFilter ref="R3:X8" xr:uid="{8E4A6F9D-3376-4220-ABFA-54BB555DFB70}"/>
  <tableColumns count="7">
    <tableColumn id="1" xr3:uid="{3251B6CE-2BD4-4109-B977-AFC49BC05D05}" name="Insertion Random" dataDxfId="15"/>
    <tableColumn id="2" xr3:uid="{A4CB6F9C-22D5-475E-9330-6C9B8D06EAD9}" name="Trial 1" dataDxfId="14"/>
    <tableColumn id="3" xr3:uid="{D659B460-A197-44B7-AACD-463C46489868}" name="Trial 2 " dataDxfId="13"/>
    <tableColumn id="4" xr3:uid="{0F73825D-E6A0-4DE4-B2F3-53633249CDF2}" name="Trial 3" dataDxfId="12"/>
    <tableColumn id="5" xr3:uid="{8A93E4A8-27BA-4D4C-8ADD-58B23F792F47}" name="Trial 4" dataDxfId="11"/>
    <tableColumn id="6" xr3:uid="{DB3C8BAE-FA87-491A-A88F-3501C2116643}" name="Trial 5" dataDxfId="10"/>
    <tableColumn id="7" xr3:uid="{C317F48B-4FFB-43AE-9D66-A76A9F908ACE}" name="Average" dataDxfId="9">
      <calculatedColumnFormula>AVERAGE(S4:W4)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B41B11-9379-474A-9633-A02030BA2CBE}" name="Table8" displayName="Table8" ref="R9:X14" totalsRowShown="0" headerRowDxfId="8" dataDxfId="7">
  <autoFilter ref="R9:X14" xr:uid="{E94F0CE2-7C53-4DEF-836D-4133B6988E2E}"/>
  <tableColumns count="7">
    <tableColumn id="1" xr3:uid="{4E868865-D793-4A22-9453-20A0A8CE1428}" name="Selection Random" dataDxfId="6"/>
    <tableColumn id="2" xr3:uid="{B3B31250-A949-4DCC-9CCA-1F48E7F776A2}" name="Trial 1" dataDxfId="5"/>
    <tableColumn id="3" xr3:uid="{2BF13ADB-A95E-48D9-9F73-6EF56045ED18}" name="Trial 2 " dataDxfId="4"/>
    <tableColumn id="4" xr3:uid="{975C082C-CA5D-4298-A1FB-C9F1938B1434}" name="Trial 3" dataDxfId="3"/>
    <tableColumn id="5" xr3:uid="{00D71A27-F4AE-4CAC-B3AA-E250D52604C4}" name="Trial 4" dataDxfId="2"/>
    <tableColumn id="6" xr3:uid="{CAFBF90B-A0AC-4EB7-AA24-EDB126B0BBC2}" name="Trial 5" dataDxfId="1"/>
    <tableColumn id="7" xr3:uid="{76B379C1-A77E-4D50-AEAD-4A5B40462782}" name="Average" dataDxfId="0">
      <calculatedColumnFormula>AVERAGE(S10:W10)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7E74-F04F-4BE1-B2FE-FA47F3629FC8}">
  <dimension ref="A1:AC43"/>
  <sheetViews>
    <sheetView tabSelected="1" zoomScaleNormal="100" workbookViewId="0">
      <selection activeCell="I15" sqref="I15"/>
    </sheetView>
  </sheetViews>
  <sheetFormatPr defaultRowHeight="14.4" x14ac:dyDescent="0.3"/>
  <cols>
    <col min="2" max="2" width="19.5546875" customWidth="1"/>
    <col min="8" max="8" width="9.77734375" customWidth="1"/>
    <col min="10" max="10" width="20.109375" customWidth="1"/>
    <col min="16" max="16" width="9.77734375" customWidth="1"/>
    <col min="18" max="18" width="18.109375" customWidth="1"/>
    <col min="24" max="24" width="9.77734375" customWidth="1"/>
    <col min="28" max="28" width="9.5546875" customWidth="1"/>
  </cols>
  <sheetData>
    <row r="1" spans="1:29" x14ac:dyDescent="0.3">
      <c r="Z1" s="6" t="s">
        <v>12</v>
      </c>
    </row>
    <row r="2" spans="1:29" x14ac:dyDescent="0.3">
      <c r="Z2" s="6"/>
      <c r="AA2" t="s">
        <v>11</v>
      </c>
      <c r="AB2" t="s">
        <v>14</v>
      </c>
      <c r="AC2" t="s">
        <v>15</v>
      </c>
    </row>
    <row r="3" spans="1:29" x14ac:dyDescent="0.3">
      <c r="B3" s="6" t="s">
        <v>5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31</v>
      </c>
      <c r="I3" s="5"/>
      <c r="J3" s="7" t="s">
        <v>6</v>
      </c>
      <c r="K3" s="5" t="s">
        <v>0</v>
      </c>
      <c r="L3" s="5" t="s">
        <v>1</v>
      </c>
      <c r="M3" s="5" t="s">
        <v>2</v>
      </c>
      <c r="N3" s="5" t="s">
        <v>3</v>
      </c>
      <c r="O3" s="5" t="s">
        <v>4</v>
      </c>
      <c r="P3" s="5" t="s">
        <v>31</v>
      </c>
      <c r="Q3" s="5"/>
      <c r="R3" s="7" t="s">
        <v>7</v>
      </c>
      <c r="S3" s="5" t="s">
        <v>0</v>
      </c>
      <c r="T3" s="5" t="s">
        <v>1</v>
      </c>
      <c r="U3" s="5" t="s">
        <v>2</v>
      </c>
      <c r="V3" s="5" t="s">
        <v>3</v>
      </c>
      <c r="W3" s="5" t="s">
        <v>4</v>
      </c>
      <c r="X3" s="5" t="s">
        <v>31</v>
      </c>
      <c r="Z3" s="6">
        <v>1000</v>
      </c>
      <c r="AA3">
        <v>0</v>
      </c>
      <c r="AB3">
        <v>7.4999999999999997E-2</v>
      </c>
      <c r="AC3">
        <v>3.4375000000000003E-2</v>
      </c>
    </row>
    <row r="4" spans="1:29" x14ac:dyDescent="0.3">
      <c r="B4" s="6">
        <v>1000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f>AVERAGE(C4:G4)</f>
        <v>0</v>
      </c>
      <c r="J4" s="7">
        <v>1000</v>
      </c>
      <c r="K4" s="4">
        <v>7.8125E-2</v>
      </c>
      <c r="L4" s="4">
        <v>6.25E-2</v>
      </c>
      <c r="M4" s="4">
        <v>7.8125E-2</v>
      </c>
      <c r="N4" s="4">
        <v>7.8125E-2</v>
      </c>
      <c r="O4" s="4">
        <v>7.8125E-2</v>
      </c>
      <c r="P4" s="4">
        <f>AVERAGE(K4:O4)</f>
        <v>7.4999999999999997E-2</v>
      </c>
      <c r="R4" s="6">
        <v>1000</v>
      </c>
      <c r="S4" s="4">
        <v>3.125E-2</v>
      </c>
      <c r="T4" s="4">
        <v>3.125E-2</v>
      </c>
      <c r="U4" s="4">
        <v>4.6875E-2</v>
      </c>
      <c r="V4" s="4">
        <v>3.125E-2</v>
      </c>
      <c r="W4" s="4">
        <v>3.125E-2</v>
      </c>
      <c r="X4" s="4">
        <f>AVERAGE(S4:W4)</f>
        <v>3.4375000000000003E-2</v>
      </c>
      <c r="Z4" s="6">
        <v>2500</v>
      </c>
      <c r="AA4">
        <v>0</v>
      </c>
      <c r="AB4">
        <v>0.49375000000000002</v>
      </c>
      <c r="AC4">
        <v>0.25937500000000002</v>
      </c>
    </row>
    <row r="5" spans="1:29" x14ac:dyDescent="0.3">
      <c r="B5" s="6">
        <v>2500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f t="shared" ref="H5:H8" si="0">AVERAGE(C5:G5)</f>
        <v>0</v>
      </c>
      <c r="J5" s="7">
        <v>2500</v>
      </c>
      <c r="K5" s="4">
        <v>0.484375</v>
      </c>
      <c r="L5" s="4">
        <v>0.5</v>
      </c>
      <c r="M5" s="4">
        <v>0.5</v>
      </c>
      <c r="N5" s="4">
        <v>0.5</v>
      </c>
      <c r="O5" s="4">
        <v>0.484375</v>
      </c>
      <c r="P5" s="4">
        <f t="shared" ref="P5:P8" si="1">AVERAGE(K5:O5)</f>
        <v>0.49375000000000002</v>
      </c>
      <c r="R5" s="6">
        <v>2500</v>
      </c>
      <c r="S5" s="4">
        <v>0.265625</v>
      </c>
      <c r="T5" s="4">
        <v>0.265625</v>
      </c>
      <c r="U5" s="4">
        <v>0.25</v>
      </c>
      <c r="V5" s="4">
        <v>0.265625</v>
      </c>
      <c r="W5" s="4">
        <v>0.25</v>
      </c>
      <c r="X5" s="4">
        <f t="shared" ref="X5:X8" si="2">AVERAGE(S5:W5)</f>
        <v>0.25937500000000002</v>
      </c>
      <c r="Z5" s="6">
        <v>5000</v>
      </c>
      <c r="AA5">
        <v>0</v>
      </c>
      <c r="AB5">
        <v>2.0187499999999998</v>
      </c>
      <c r="AC5">
        <v>1.04375</v>
      </c>
    </row>
    <row r="6" spans="1:29" x14ac:dyDescent="0.3">
      <c r="B6" s="6">
        <v>5000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f t="shared" si="0"/>
        <v>0</v>
      </c>
      <c r="J6" s="7">
        <v>5000</v>
      </c>
      <c r="K6" s="4">
        <v>2.015625</v>
      </c>
      <c r="L6" s="4">
        <v>2.046875</v>
      </c>
      <c r="M6" s="4">
        <v>2</v>
      </c>
      <c r="N6" s="4">
        <v>2.015625</v>
      </c>
      <c r="O6" s="4">
        <v>2.015625</v>
      </c>
      <c r="P6" s="4">
        <f t="shared" si="1"/>
        <v>2.0187499999999998</v>
      </c>
      <c r="R6" s="6">
        <v>5000</v>
      </c>
      <c r="S6" s="4">
        <v>1.015625</v>
      </c>
      <c r="T6" s="4">
        <v>1.0625</v>
      </c>
      <c r="U6" s="4">
        <v>1.0625</v>
      </c>
      <c r="V6" s="4">
        <v>1.03125</v>
      </c>
      <c r="W6" s="4">
        <v>1.046875</v>
      </c>
      <c r="X6" s="4">
        <f t="shared" si="2"/>
        <v>1.04375</v>
      </c>
      <c r="Z6" s="6">
        <v>7500</v>
      </c>
      <c r="AA6">
        <v>0</v>
      </c>
      <c r="AB6">
        <v>4.5718750000000004</v>
      </c>
      <c r="AC6">
        <v>2.35</v>
      </c>
    </row>
    <row r="7" spans="1:29" x14ac:dyDescent="0.3">
      <c r="B7" s="6">
        <v>7500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f t="shared" si="0"/>
        <v>0</v>
      </c>
      <c r="J7" s="7">
        <v>7500</v>
      </c>
      <c r="K7" s="4">
        <v>4.546875</v>
      </c>
      <c r="L7" s="4">
        <v>4.609375</v>
      </c>
      <c r="M7" s="4">
        <v>4.578125</v>
      </c>
      <c r="N7" s="4">
        <v>4.578125</v>
      </c>
      <c r="O7" s="4">
        <v>4.546875</v>
      </c>
      <c r="P7" s="4">
        <f t="shared" si="1"/>
        <v>4.5718750000000004</v>
      </c>
      <c r="R7" s="6">
        <v>7500</v>
      </c>
      <c r="S7" s="4">
        <v>2.3125</v>
      </c>
      <c r="T7" s="4">
        <v>2.46875</v>
      </c>
      <c r="U7" s="4">
        <v>2.359375</v>
      </c>
      <c r="V7" s="4">
        <v>2.328125</v>
      </c>
      <c r="W7" s="4">
        <v>2.28125</v>
      </c>
      <c r="X7" s="4">
        <f t="shared" si="2"/>
        <v>2.35</v>
      </c>
      <c r="Z7" s="6">
        <v>10000</v>
      </c>
      <c r="AA7">
        <v>0</v>
      </c>
      <c r="AB7">
        <v>8.1531249999999993</v>
      </c>
      <c r="AC7">
        <v>4.1749999999999998</v>
      </c>
    </row>
    <row r="8" spans="1:29" x14ac:dyDescent="0.3">
      <c r="B8" s="6">
        <v>10000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f t="shared" si="0"/>
        <v>0</v>
      </c>
      <c r="J8" s="7">
        <v>10000</v>
      </c>
      <c r="K8" s="4">
        <v>8.109375</v>
      </c>
      <c r="L8" s="4">
        <v>8.234375</v>
      </c>
      <c r="M8" s="4">
        <v>8.140625</v>
      </c>
      <c r="N8" s="4">
        <v>8.140625</v>
      </c>
      <c r="O8" s="4">
        <v>8.140625</v>
      </c>
      <c r="P8" s="4">
        <f t="shared" si="1"/>
        <v>8.1531249999999993</v>
      </c>
      <c r="R8" s="6">
        <v>10000</v>
      </c>
      <c r="S8" s="4">
        <v>4.140625</v>
      </c>
      <c r="T8" s="4">
        <v>4.296875</v>
      </c>
      <c r="U8" s="4">
        <v>4.140625</v>
      </c>
      <c r="V8" s="4">
        <v>4.15625</v>
      </c>
      <c r="W8" s="4">
        <v>4.140625</v>
      </c>
      <c r="X8" s="4">
        <f t="shared" si="2"/>
        <v>4.1749999999999998</v>
      </c>
      <c r="Z8" s="6"/>
    </row>
    <row r="9" spans="1:29" x14ac:dyDescent="0.3">
      <c r="B9" s="6" t="s">
        <v>8</v>
      </c>
      <c r="C9" s="4" t="s">
        <v>0</v>
      </c>
      <c r="D9" s="4" t="s">
        <v>1</v>
      </c>
      <c r="E9" s="4" t="s">
        <v>2</v>
      </c>
      <c r="F9" s="4" t="s">
        <v>3</v>
      </c>
      <c r="G9" s="4" t="s">
        <v>4</v>
      </c>
      <c r="H9" s="4" t="s">
        <v>31</v>
      </c>
      <c r="J9" s="7" t="s">
        <v>9</v>
      </c>
      <c r="K9" s="4" t="s">
        <v>0</v>
      </c>
      <c r="L9" s="4" t="s">
        <v>1</v>
      </c>
      <c r="M9" s="4" t="s">
        <v>2</v>
      </c>
      <c r="N9" s="4" t="s">
        <v>3</v>
      </c>
      <c r="O9" s="4" t="s">
        <v>4</v>
      </c>
      <c r="P9" s="4" t="s">
        <v>31</v>
      </c>
      <c r="R9" s="6" t="s">
        <v>10</v>
      </c>
      <c r="S9" s="4" t="s">
        <v>0</v>
      </c>
      <c r="T9" s="4" t="s">
        <v>1</v>
      </c>
      <c r="U9" s="4" t="s">
        <v>2</v>
      </c>
      <c r="V9" s="4" t="s">
        <v>3</v>
      </c>
      <c r="W9" s="4" t="s">
        <v>4</v>
      </c>
      <c r="X9" s="5" t="s">
        <v>31</v>
      </c>
      <c r="Z9" s="6"/>
    </row>
    <row r="10" spans="1:29" x14ac:dyDescent="0.3">
      <c r="B10" s="7">
        <v>1000</v>
      </c>
      <c r="C10" s="4">
        <v>6.25E-2</v>
      </c>
      <c r="D10" s="4">
        <v>6.25E-2</v>
      </c>
      <c r="E10" s="4">
        <v>7.8125E-2</v>
      </c>
      <c r="F10" s="4">
        <v>6.25E-2</v>
      </c>
      <c r="G10" s="4">
        <v>7.8125E-2</v>
      </c>
      <c r="H10" s="4">
        <f>AVERAGE(C10:G10)</f>
        <v>6.8750000000000006E-2</v>
      </c>
      <c r="J10" s="7">
        <v>1000</v>
      </c>
      <c r="K10" s="4">
        <v>7.8125E-2</v>
      </c>
      <c r="L10" s="4">
        <v>6.25E-2</v>
      </c>
      <c r="M10" s="4">
        <v>7.8125E-2</v>
      </c>
      <c r="N10" s="4">
        <v>7.8125E-2</v>
      </c>
      <c r="O10" s="4">
        <v>6.25E-2</v>
      </c>
      <c r="P10" s="4">
        <f>AVERAGE(K10:O10)</f>
        <v>7.1874999999999994E-2</v>
      </c>
      <c r="R10" s="6">
        <v>1000</v>
      </c>
      <c r="S10" s="4">
        <v>6.25E-2</v>
      </c>
      <c r="T10" s="4">
        <v>6.25E-2</v>
      </c>
      <c r="U10" s="4">
        <v>6.25E-2</v>
      </c>
      <c r="V10" s="4">
        <v>6.25E-2</v>
      </c>
      <c r="W10" s="4">
        <v>6.25E-2</v>
      </c>
      <c r="X10" s="4">
        <f>AVERAGE(S10:W10)</f>
        <v>6.25E-2</v>
      </c>
      <c r="Z10" s="6" t="s">
        <v>13</v>
      </c>
    </row>
    <row r="11" spans="1:29" x14ac:dyDescent="0.3">
      <c r="A11" s="4"/>
      <c r="B11" s="7">
        <v>2500</v>
      </c>
      <c r="C11" s="4">
        <v>0.421875</v>
      </c>
      <c r="D11" s="4">
        <v>0.40625</v>
      </c>
      <c r="E11" s="4">
        <v>0.40625</v>
      </c>
      <c r="F11" s="4">
        <v>0.40625</v>
      </c>
      <c r="G11" s="4">
        <v>0.421875</v>
      </c>
      <c r="H11" s="4">
        <f t="shared" ref="H11:H14" si="3">AVERAGE(C11:G11)</f>
        <v>0.41249999999999998</v>
      </c>
      <c r="I11" s="4"/>
      <c r="J11" s="7">
        <v>2500</v>
      </c>
      <c r="K11" s="4">
        <v>0.421875</v>
      </c>
      <c r="L11" s="4">
        <v>0.421875</v>
      </c>
      <c r="M11" s="4">
        <v>0.40625</v>
      </c>
      <c r="N11" s="4">
        <v>0.40625</v>
      </c>
      <c r="O11" s="4">
        <v>0.4375</v>
      </c>
      <c r="P11" s="4">
        <f t="shared" ref="P11:P14" si="4">AVERAGE(K11:O11)</f>
        <v>0.41875000000000001</v>
      </c>
      <c r="Q11" s="4"/>
      <c r="R11" s="6">
        <v>2500</v>
      </c>
      <c r="S11" s="4">
        <v>0.42178500000000002</v>
      </c>
      <c r="T11" s="4">
        <v>0.40625</v>
      </c>
      <c r="U11" s="4">
        <v>0.421875</v>
      </c>
      <c r="V11" s="4">
        <v>0.421875</v>
      </c>
      <c r="W11" s="4">
        <v>0.4375</v>
      </c>
      <c r="X11" s="4">
        <f t="shared" ref="X11:X14" si="5">AVERAGE(S11:W11)</f>
        <v>0.42185699999999998</v>
      </c>
      <c r="Z11" s="6"/>
      <c r="AA11" t="s">
        <v>11</v>
      </c>
      <c r="AB11" t="s">
        <v>14</v>
      </c>
      <c r="AC11" t="s">
        <v>15</v>
      </c>
    </row>
    <row r="12" spans="1:29" x14ac:dyDescent="0.3">
      <c r="B12" s="7">
        <v>5000</v>
      </c>
      <c r="C12" s="4">
        <v>1.671875</v>
      </c>
      <c r="D12" s="4">
        <v>1.625</v>
      </c>
      <c r="E12" s="4">
        <v>1.640625</v>
      </c>
      <c r="F12" s="4">
        <v>1.640625</v>
      </c>
      <c r="G12" s="4">
        <v>1.734375</v>
      </c>
      <c r="H12" s="4">
        <f t="shared" si="3"/>
        <v>1.6625000000000001</v>
      </c>
      <c r="J12" s="7">
        <v>5000</v>
      </c>
      <c r="K12" s="4">
        <v>1.6875</v>
      </c>
      <c r="L12" s="4">
        <v>1.671875</v>
      </c>
      <c r="M12" s="4">
        <v>1.703125</v>
      </c>
      <c r="N12" s="4">
        <v>1.671875</v>
      </c>
      <c r="O12" s="4">
        <v>1.75</v>
      </c>
      <c r="P12" s="8">
        <f>AVERAGE(K12:O12)</f>
        <v>1.6968749999999999</v>
      </c>
      <c r="R12" s="6">
        <v>5000</v>
      </c>
      <c r="S12" s="4">
        <v>1.703125</v>
      </c>
      <c r="T12" s="4">
        <v>1.65625</v>
      </c>
      <c r="U12" s="4">
        <v>1.671875</v>
      </c>
      <c r="V12" s="4">
        <v>1.671875</v>
      </c>
      <c r="W12" s="4">
        <v>1.71875</v>
      </c>
      <c r="X12" s="4">
        <f t="shared" si="5"/>
        <v>1.684375</v>
      </c>
      <c r="Y12" s="1"/>
      <c r="Z12" s="6">
        <v>1000</v>
      </c>
      <c r="AA12">
        <v>6.8750000000000006E-2</v>
      </c>
      <c r="AB12">
        <v>7.1874999999999994E-2</v>
      </c>
      <c r="AC12">
        <v>6.25E-2</v>
      </c>
    </row>
    <row r="13" spans="1:29" x14ac:dyDescent="0.3">
      <c r="B13" s="7">
        <v>7500</v>
      </c>
      <c r="C13" s="4">
        <v>3.75</v>
      </c>
      <c r="D13" s="4">
        <v>3.671875</v>
      </c>
      <c r="E13" s="4">
        <v>3.71875</v>
      </c>
      <c r="F13" s="4">
        <v>3.71875</v>
      </c>
      <c r="G13" s="4">
        <v>3.890625</v>
      </c>
      <c r="H13" s="4">
        <f t="shared" si="3"/>
        <v>3.75</v>
      </c>
      <c r="J13" s="7">
        <v>7500</v>
      </c>
      <c r="K13" s="4">
        <v>3.828125</v>
      </c>
      <c r="L13" s="4">
        <v>3.8125</v>
      </c>
      <c r="M13" s="4">
        <v>4.03125</v>
      </c>
      <c r="N13" s="4">
        <v>3.71875</v>
      </c>
      <c r="O13" s="4">
        <v>3.84375</v>
      </c>
      <c r="P13" s="4">
        <f t="shared" si="4"/>
        <v>3.8468749999999998</v>
      </c>
      <c r="R13" s="6">
        <v>7500</v>
      </c>
      <c r="S13" s="4">
        <v>3.8125</v>
      </c>
      <c r="T13" s="4">
        <v>3.75</v>
      </c>
      <c r="U13" s="4">
        <v>3.796875</v>
      </c>
      <c r="V13" s="4">
        <v>3.75</v>
      </c>
      <c r="W13" s="4">
        <v>3.859375</v>
      </c>
      <c r="X13" s="4">
        <f t="shared" si="5"/>
        <v>3.7937500000000002</v>
      </c>
      <c r="Y13" s="1"/>
      <c r="Z13" s="6">
        <v>2500</v>
      </c>
      <c r="AA13">
        <v>0.41249999999999998</v>
      </c>
      <c r="AB13">
        <v>0.41875000000000001</v>
      </c>
      <c r="AC13">
        <v>0.42185699999999998</v>
      </c>
    </row>
    <row r="14" spans="1:29" x14ac:dyDescent="0.3">
      <c r="B14" s="7">
        <v>10000</v>
      </c>
      <c r="C14" s="4">
        <v>6.671875</v>
      </c>
      <c r="D14" s="4">
        <v>6.5</v>
      </c>
      <c r="E14" s="4">
        <v>6.625</v>
      </c>
      <c r="F14" s="4">
        <v>6.625</v>
      </c>
      <c r="G14" s="4">
        <v>6.859375</v>
      </c>
      <c r="H14" s="4">
        <f t="shared" si="3"/>
        <v>6.65625</v>
      </c>
      <c r="J14" s="7">
        <v>10000</v>
      </c>
      <c r="K14" s="4">
        <v>6.765625</v>
      </c>
      <c r="L14" s="4">
        <v>6.625</v>
      </c>
      <c r="M14" s="4">
        <v>8.953125</v>
      </c>
      <c r="N14" s="4">
        <v>6.625</v>
      </c>
      <c r="O14" s="4">
        <v>6.859375</v>
      </c>
      <c r="P14" s="4">
        <f t="shared" si="4"/>
        <v>7.1656250000000004</v>
      </c>
      <c r="R14" s="6">
        <v>10000</v>
      </c>
      <c r="S14" s="4">
        <v>6.796875</v>
      </c>
      <c r="T14" s="4">
        <v>6.671875</v>
      </c>
      <c r="U14" s="4">
        <v>6.75</v>
      </c>
      <c r="V14" s="4">
        <v>6.65625</v>
      </c>
      <c r="W14" s="4">
        <v>6.859375</v>
      </c>
      <c r="X14" s="4">
        <f t="shared" si="5"/>
        <v>6.7468750000000002</v>
      </c>
      <c r="Y14" s="1"/>
      <c r="Z14" s="6">
        <v>5000</v>
      </c>
      <c r="AA14">
        <v>1.6625000000000001</v>
      </c>
      <c r="AB14">
        <v>1.6968749999999999</v>
      </c>
      <c r="AC14">
        <v>1.684375</v>
      </c>
    </row>
    <row r="15" spans="1:29" x14ac:dyDescent="0.3">
      <c r="Y15" s="1"/>
      <c r="Z15" s="6">
        <v>7500</v>
      </c>
      <c r="AA15">
        <v>3.75</v>
      </c>
      <c r="AB15">
        <v>3.8468749999999998</v>
      </c>
      <c r="AC15">
        <v>3.7937500000000002</v>
      </c>
    </row>
    <row r="16" spans="1:29" x14ac:dyDescent="0.3">
      <c r="Y16" s="1"/>
      <c r="Z16" s="6">
        <v>10000</v>
      </c>
      <c r="AA16">
        <v>6.65625</v>
      </c>
      <c r="AB16">
        <v>7.1656250000000004</v>
      </c>
      <c r="AC16">
        <v>6.7468750000000002</v>
      </c>
    </row>
    <row r="17" spans="2:23" x14ac:dyDescent="0.3">
      <c r="I17" t="s">
        <v>30</v>
      </c>
    </row>
    <row r="19" spans="2:23" x14ac:dyDescent="0.3">
      <c r="B19" s="2" t="s">
        <v>11</v>
      </c>
      <c r="C19" s="3" t="s">
        <v>25</v>
      </c>
      <c r="D19" s="3" t="s">
        <v>26</v>
      </c>
      <c r="E19" s="3" t="s">
        <v>27</v>
      </c>
      <c r="F19" s="3" t="s">
        <v>28</v>
      </c>
      <c r="G19" s="3" t="s">
        <v>29</v>
      </c>
      <c r="J19" s="3" t="s">
        <v>14</v>
      </c>
      <c r="K19" s="3" t="s">
        <v>25</v>
      </c>
      <c r="L19" s="3" t="s">
        <v>26</v>
      </c>
      <c r="M19" s="3" t="s">
        <v>27</v>
      </c>
      <c r="N19" s="3" t="s">
        <v>28</v>
      </c>
      <c r="O19" s="3" t="s">
        <v>29</v>
      </c>
      <c r="R19" t="s">
        <v>15</v>
      </c>
      <c r="S19" t="s">
        <v>25</v>
      </c>
      <c r="T19" t="s">
        <v>26</v>
      </c>
      <c r="U19" t="s">
        <v>27</v>
      </c>
      <c r="V19" t="s">
        <v>28</v>
      </c>
      <c r="W19" t="s">
        <v>29</v>
      </c>
    </row>
    <row r="20" spans="2:23" x14ac:dyDescent="0.3"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J20" t="s">
        <v>12</v>
      </c>
      <c r="K20">
        <v>7.4999999999999997E-2</v>
      </c>
      <c r="L20">
        <v>0.49375000000000002</v>
      </c>
      <c r="M20">
        <v>2.0187499999999998</v>
      </c>
      <c r="N20">
        <v>4.5718750000000004</v>
      </c>
      <c r="O20">
        <v>8.1531249999999993</v>
      </c>
      <c r="R20" t="s">
        <v>12</v>
      </c>
      <c r="S20">
        <v>3.4375000000000003E-2</v>
      </c>
      <c r="T20">
        <v>0.25937500000000002</v>
      </c>
      <c r="U20">
        <v>1.04375</v>
      </c>
      <c r="V20">
        <v>2.35</v>
      </c>
      <c r="W20">
        <v>4.1749999999999998</v>
      </c>
    </row>
    <row r="21" spans="2:23" x14ac:dyDescent="0.3">
      <c r="B21" t="s">
        <v>13</v>
      </c>
      <c r="C21">
        <v>6.8750000000000006E-2</v>
      </c>
      <c r="D21">
        <v>0.41249999999999998</v>
      </c>
      <c r="E21">
        <v>1.6625000000000001</v>
      </c>
      <c r="F21">
        <v>3.75</v>
      </c>
      <c r="G21">
        <v>6.65625</v>
      </c>
      <c r="J21" t="s">
        <v>13</v>
      </c>
      <c r="K21">
        <v>7.1874999999999994E-2</v>
      </c>
      <c r="L21">
        <v>0.41875000000000001</v>
      </c>
      <c r="M21">
        <v>1.6968749999999999</v>
      </c>
      <c r="N21">
        <v>3.8468749999999998</v>
      </c>
      <c r="O21">
        <v>7.1656250000000004</v>
      </c>
      <c r="R21" t="s">
        <v>13</v>
      </c>
      <c r="S21" s="1">
        <v>6.25E-2</v>
      </c>
      <c r="T21" s="1">
        <v>0.42185699999999998</v>
      </c>
      <c r="U21" s="1">
        <v>1.684375</v>
      </c>
      <c r="V21" s="1">
        <v>3.7937500000000002</v>
      </c>
      <c r="W21" s="1">
        <v>6.7468750000000002</v>
      </c>
    </row>
    <row r="39" spans="2:19" x14ac:dyDescent="0.3">
      <c r="B39" s="2" t="s">
        <v>16</v>
      </c>
      <c r="K39" s="2" t="s">
        <v>17</v>
      </c>
      <c r="S39" s="2" t="s">
        <v>18</v>
      </c>
    </row>
    <row r="40" spans="2:19" x14ac:dyDescent="0.3">
      <c r="B40" t="s">
        <v>19</v>
      </c>
      <c r="K40" t="s">
        <v>23</v>
      </c>
      <c r="S40" t="s">
        <v>20</v>
      </c>
    </row>
    <row r="41" spans="2:19" x14ac:dyDescent="0.3">
      <c r="B41" t="s">
        <v>22</v>
      </c>
      <c r="K41" t="s">
        <v>24</v>
      </c>
      <c r="S41" t="s">
        <v>21</v>
      </c>
    </row>
    <row r="43" spans="2:19" x14ac:dyDescent="0.3">
      <c r="D43" t="s">
        <v>12</v>
      </c>
      <c r="E43" t="s">
        <v>13</v>
      </c>
    </row>
  </sheetData>
  <pageMargins left="0.7" right="0.7" top="0.75" bottom="0.75" header="0.3" footer="0.3"/>
  <pageSetup orientation="portrait" r:id="rId1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Yu</dc:creator>
  <cp:lastModifiedBy>Connor Yu</cp:lastModifiedBy>
  <dcterms:created xsi:type="dcterms:W3CDTF">2019-09-10T15:42:12Z</dcterms:created>
  <dcterms:modified xsi:type="dcterms:W3CDTF">2019-09-16T00:08:17Z</dcterms:modified>
</cp:coreProperties>
</file>